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월1일-현재월 거래명세서" sheetId="1" state="visible" r:id="rId1"/>
  </sheets>
  <definedNames>
    <definedName name="_xlnm.Print_Area" localSheetId="0">'12월1일-현재월 거래명세서'!$A$1:$H$22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  <font>
      <name val="맑은 고딕"/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8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double"/>
      <diagonal/>
    </border>
    <border>
      <left/>
      <right style="thin"/>
      <top style="double"/>
      <bottom style="double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3" fontId="3" fillId="3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right" vertical="center"/>
    </xf>
    <xf numFmtId="0" fontId="0" fillId="4" borderId="3" pivotButton="0" quotePrefix="0" xfId="0"/>
    <xf numFmtId="3" fontId="4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5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월</t>
        </is>
      </c>
      <c r="B1" s="1" t="inlineStr">
        <is>
          <t>일</t>
        </is>
      </c>
      <c r="C1" s="1" t="inlineStr">
        <is>
          <t>품목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금액</t>
        </is>
      </c>
      <c r="H1" s="1" t="inlineStr">
        <is>
          <t>미수금</t>
        </is>
      </c>
    </row>
    <row r="2" ht="18" customHeight="1">
      <c r="A2" s="2" t="n">
        <v>12</v>
      </c>
      <c r="B2" s="2" t="n">
        <v>15</v>
      </c>
      <c r="C2" s="2" t="inlineStr">
        <is>
          <t>26 미라</t>
        </is>
      </c>
      <c r="D2" s="2" t="inlineStr">
        <is>
          <t>708 X 1358</t>
        </is>
      </c>
      <c r="E2" s="3" t="n">
        <v>2</v>
      </c>
      <c r="F2" s="3" t="n">
        <v>42731</v>
      </c>
      <c r="G2" s="3" t="n">
        <v>85462</v>
      </c>
      <c r="H2" s="3" t="n">
        <v>85462</v>
      </c>
    </row>
    <row r="3" ht="18" customHeight="1">
      <c r="A3" s="2" t="n">
        <v>12</v>
      </c>
      <c r="B3" s="2" t="n">
        <v>15</v>
      </c>
      <c r="C3" s="2" t="inlineStr">
        <is>
          <t>26그린로이</t>
        </is>
      </c>
      <c r="D3" s="2" t="inlineStr">
        <is>
          <t>714 X 1370</t>
        </is>
      </c>
      <c r="E3" s="3" t="n">
        <v>2</v>
      </c>
      <c r="F3" s="3" t="n">
        <v>43474</v>
      </c>
      <c r="G3" s="3" t="n">
        <v>86948</v>
      </c>
      <c r="H3" s="3" t="n">
        <v>172410</v>
      </c>
    </row>
    <row r="4" ht="18" customHeight="1">
      <c r="A4" s="2" t="n">
        <v>12</v>
      </c>
      <c r="B4" s="2" t="n">
        <v>15</v>
      </c>
      <c r="C4" s="2" t="inlineStr">
        <is>
          <t>미라22</t>
        </is>
      </c>
      <c r="D4" s="2" t="inlineStr">
        <is>
          <t>143 X 332</t>
        </is>
      </c>
      <c r="E4" s="3" t="n">
        <v>2</v>
      </c>
      <c r="F4" s="3" t="n">
        <v>10800</v>
      </c>
      <c r="G4" s="3" t="n">
        <v>21600</v>
      </c>
      <c r="H4" s="3" t="n">
        <v>194010</v>
      </c>
    </row>
    <row r="5" ht="18" customHeight="1">
      <c r="A5" s="2" t="n">
        <v>12</v>
      </c>
      <c r="B5" s="2" t="n">
        <v>15</v>
      </c>
      <c r="C5" s="2" t="inlineStr">
        <is>
          <t>그린22</t>
        </is>
      </c>
      <c r="D5" s="2" t="inlineStr">
        <is>
          <t>143 X 332</t>
        </is>
      </c>
      <c r="E5" s="3" t="n">
        <v>2</v>
      </c>
      <c r="F5" s="3" t="n">
        <v>9300</v>
      </c>
      <c r="G5" s="3" t="n">
        <v>18600</v>
      </c>
      <c r="H5" s="3" t="n">
        <v>212610</v>
      </c>
    </row>
    <row r="6" ht="20" customHeight="1">
      <c r="A6" s="4" t="inlineStr">
        <is>
          <t>합계</t>
        </is>
      </c>
      <c r="B6" s="5" t="n"/>
      <c r="C6" s="5" t="n"/>
      <c r="D6" s="6" t="n"/>
      <c r="E6" s="7">
        <f>SUM(E2:E5)</f>
        <v/>
      </c>
      <c r="F6" s="7">
        <f>SUM(F2:F5)</f>
        <v/>
      </c>
      <c r="G6" s="7">
        <f>SUM(G2:G5)</f>
        <v/>
      </c>
      <c r="H6" s="7">
        <f>H5</f>
        <v/>
      </c>
    </row>
    <row r="8" ht="18" customHeight="1">
      <c r="A8" s="2" t="n">
        <v>12</v>
      </c>
      <c r="B8" s="2" t="n">
        <v>17</v>
      </c>
      <c r="C8" s="2" t="inlineStr">
        <is>
          <t>그린26</t>
        </is>
      </c>
      <c r="D8" s="2" t="inlineStr">
        <is>
          <t>538 X 1257</t>
        </is>
      </c>
      <c r="E8" s="3" t="n">
        <v>2</v>
      </c>
      <c r="F8" s="3" t="n">
        <v>26299</v>
      </c>
      <c r="G8" s="3" t="n">
        <v>52598</v>
      </c>
      <c r="H8" s="3" t="n">
        <v>265208</v>
      </c>
    </row>
    <row r="9" ht="18" customHeight="1">
      <c r="A9" s="2" t="n">
        <v>12</v>
      </c>
      <c r="B9" s="2" t="n">
        <v>17</v>
      </c>
      <c r="C9" s="2" t="inlineStr">
        <is>
          <t>그린26</t>
        </is>
      </c>
      <c r="D9" s="2" t="inlineStr">
        <is>
          <t>1232 X 1257</t>
        </is>
      </c>
      <c r="E9" s="3" t="n">
        <v>1</v>
      </c>
      <c r="F9" s="3" t="n">
        <v>60224</v>
      </c>
      <c r="G9" s="3" t="n">
        <v>60224</v>
      </c>
      <c r="H9" s="3" t="n">
        <v>325432</v>
      </c>
    </row>
    <row r="10" ht="18" customHeight="1">
      <c r="A10" s="2" t="n">
        <v>12</v>
      </c>
      <c r="B10" s="2" t="n">
        <v>17</v>
      </c>
      <c r="C10" s="2" t="inlineStr">
        <is>
          <t>그린26</t>
        </is>
      </c>
      <c r="D10" s="2" t="inlineStr">
        <is>
          <t>533 X 1257</t>
        </is>
      </c>
      <c r="E10" s="3" t="n">
        <v>2</v>
      </c>
      <c r="F10" s="3" t="n">
        <v>26054</v>
      </c>
      <c r="G10" s="3" t="n">
        <v>52108</v>
      </c>
      <c r="H10" s="3" t="n">
        <v>377540</v>
      </c>
    </row>
    <row r="11" ht="18" customHeight="1">
      <c r="A11" s="2" t="n">
        <v>12</v>
      </c>
      <c r="B11" s="2" t="n">
        <v>17</v>
      </c>
      <c r="C11" s="2" t="inlineStr">
        <is>
          <t>그린26</t>
        </is>
      </c>
      <c r="D11" s="2" t="inlineStr">
        <is>
          <t>1222 X 1257</t>
        </is>
      </c>
      <c r="E11" s="3" t="n">
        <v>1</v>
      </c>
      <c r="F11" s="3" t="n">
        <v>59735</v>
      </c>
      <c r="G11" s="3" t="n">
        <v>59735</v>
      </c>
      <c r="H11" s="3" t="n">
        <v>437275</v>
      </c>
    </row>
    <row r="12" ht="18" customHeight="1">
      <c r="A12" s="2" t="n">
        <v>12</v>
      </c>
      <c r="B12" s="2" t="n">
        <v>17</v>
      </c>
      <c r="C12" s="2" t="inlineStr">
        <is>
          <t>그린26</t>
        </is>
      </c>
      <c r="D12" s="2" t="inlineStr">
        <is>
          <t>648 X 1247</t>
        </is>
      </c>
      <c r="E12" s="3" t="n">
        <v>2</v>
      </c>
      <c r="F12" s="3" t="n">
        <v>31424</v>
      </c>
      <c r="G12" s="3" t="n">
        <v>62848</v>
      </c>
      <c r="H12" s="3" t="n">
        <v>500123</v>
      </c>
    </row>
    <row r="13" ht="18" customHeight="1">
      <c r="A13" s="2" t="n">
        <v>12</v>
      </c>
      <c r="B13" s="2" t="n">
        <v>17</v>
      </c>
      <c r="C13" s="2" t="inlineStr">
        <is>
          <t>그린26</t>
        </is>
      </c>
      <c r="D13" s="2" t="inlineStr">
        <is>
          <t>573 X 1247</t>
        </is>
      </c>
      <c r="E13" s="3" t="n">
        <v>2</v>
      </c>
      <c r="F13" s="3" t="n">
        <v>27787</v>
      </c>
      <c r="G13" s="3" t="n">
        <v>55574</v>
      </c>
      <c r="H13" s="3" t="n">
        <v>555697</v>
      </c>
    </row>
    <row r="14" ht="18" customHeight="1">
      <c r="A14" s="2" t="n">
        <v>12</v>
      </c>
      <c r="B14" s="2" t="n">
        <v>17</v>
      </c>
      <c r="C14" s="2" t="inlineStr">
        <is>
          <t>그린26</t>
        </is>
      </c>
      <c r="D14" s="2" t="inlineStr">
        <is>
          <t>533 X 1217</t>
        </is>
      </c>
      <c r="E14" s="3" t="n">
        <v>2</v>
      </c>
      <c r="F14" s="3" t="n">
        <v>25225</v>
      </c>
      <c r="G14" s="3" t="n">
        <v>50450</v>
      </c>
      <c r="H14" s="3" t="n">
        <v>606147</v>
      </c>
    </row>
    <row r="15" ht="18" customHeight="1">
      <c r="A15" s="2" t="n">
        <v>12</v>
      </c>
      <c r="B15" s="2" t="n">
        <v>17</v>
      </c>
      <c r="C15" s="2" t="inlineStr">
        <is>
          <t>미라22</t>
        </is>
      </c>
      <c r="D15" s="2" t="inlineStr">
        <is>
          <t>175 X 397</t>
        </is>
      </c>
      <c r="E15" s="3" t="n">
        <v>2</v>
      </c>
      <c r="F15" s="3" t="n">
        <v>10800</v>
      </c>
      <c r="G15" s="3" t="n">
        <v>21600</v>
      </c>
      <c r="H15" s="3" t="n">
        <v>627747</v>
      </c>
    </row>
    <row r="16" ht="18" customHeight="1">
      <c r="A16" s="2" t="n">
        <v>12</v>
      </c>
      <c r="B16" s="2" t="n">
        <v>17</v>
      </c>
      <c r="C16" s="2" t="inlineStr">
        <is>
          <t>그린22</t>
        </is>
      </c>
      <c r="D16" s="2" t="inlineStr">
        <is>
          <t>175 X 397</t>
        </is>
      </c>
      <c r="E16" s="3" t="n">
        <v>2</v>
      </c>
      <c r="F16" s="3" t="n">
        <v>9300</v>
      </c>
      <c r="G16" s="3" t="n">
        <v>18600</v>
      </c>
      <c r="H16" s="3" t="n">
        <v>646347</v>
      </c>
    </row>
    <row r="17" ht="18" customHeight="1">
      <c r="A17" s="2" t="n">
        <v>12</v>
      </c>
      <c r="B17" s="2" t="n">
        <v>17</v>
      </c>
      <c r="C17" s="2" t="inlineStr">
        <is>
          <t>투명22</t>
        </is>
      </c>
      <c r="D17" s="2" t="inlineStr">
        <is>
          <t>1382 X 2128</t>
        </is>
      </c>
      <c r="E17" s="3" t="n">
        <v>1</v>
      </c>
      <c r="F17" s="3" t="n">
        <v>91494</v>
      </c>
      <c r="G17" s="3" t="n">
        <v>91494</v>
      </c>
      <c r="H17" s="3" t="n">
        <v>737841</v>
      </c>
    </row>
    <row r="18" ht="18" customHeight="1">
      <c r="A18" s="2" t="n">
        <v>12</v>
      </c>
      <c r="B18" s="2" t="n">
        <v>17</v>
      </c>
      <c r="C18" s="2" t="inlineStr">
        <is>
          <t>투명22</t>
        </is>
      </c>
      <c r="D18" s="2" t="inlineStr">
        <is>
          <t>630 X 2128</t>
        </is>
      </c>
      <c r="E18" s="3" t="n">
        <v>2</v>
      </c>
      <c r="F18" s="3" t="n">
        <v>41708</v>
      </c>
      <c r="G18" s="3" t="n">
        <v>83416</v>
      </c>
      <c r="H18" s="3" t="n">
        <v>821257</v>
      </c>
    </row>
    <row r="19" ht="20" customHeight="1">
      <c r="A19" s="4" t="inlineStr">
        <is>
          <t>합계</t>
        </is>
      </c>
      <c r="B19" s="5" t="n"/>
      <c r="C19" s="5" t="n"/>
      <c r="D19" s="6" t="n"/>
      <c r="E19" s="7">
        <f>SUM(E8:E18)</f>
        <v/>
      </c>
      <c r="F19" s="7">
        <f>SUM(F8:F18)</f>
        <v/>
      </c>
      <c r="G19" s="7">
        <f>SUM(G8:G18)</f>
        <v/>
      </c>
      <c r="H19" s="7">
        <f>H18</f>
        <v/>
      </c>
    </row>
    <row r="22" ht="30" customHeight="1">
      <c r="A22" s="8" t="inlineStr">
        <is>
          <t>월 합계 금액</t>
        </is>
      </c>
      <c r="B22" s="9" t="n"/>
      <c r="C22" s="9" t="n"/>
      <c r="D22" s="9" t="n"/>
      <c r="E22" s="9" t="n"/>
      <c r="F22" s="9" t="n"/>
      <c r="G22" s="9" t="n"/>
      <c r="H22" s="10">
        <f>SUM(G6,G19)</f>
        <v/>
      </c>
    </row>
  </sheetData>
  <mergeCells count="3">
    <mergeCell ref="A22:G22"/>
    <mergeCell ref="A19:D19"/>
    <mergeCell ref="A6:D6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2025-12-24T04:18:14Z</dcterms:created>
  <dcterms:modified xmlns:dcterms="http://purl.org/dc/terms/" xmlns:xsi="http://www.w3.org/2001/XMLSchema-instance" xsi:type="dcterms:W3CDTF">2025-12-24T04:18:14Z</dcterms:modified>
</cp:coreProperties>
</file>