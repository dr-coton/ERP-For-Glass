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월1일-현재월 거래명세서" sheetId="1" state="visible" r:id="rId1"/>
  </sheets>
  <definedNames>
    <definedName name="_xlnm.Print_Area" localSheetId="0">'12월1일-현재월 거래명세서'!$A$1:$H$71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sz val="10"/>
    </font>
    <font>
      <name val="맑은 고딕"/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E6E6"/>
        <bgColor rgb="00E6E6E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double"/>
      <bottom style="double"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double"/>
      <diagonal/>
    </border>
    <border>
      <left/>
      <right style="thin"/>
      <top style="double"/>
      <bottom style="double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3" fontId="2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right" vertical="center"/>
    </xf>
    <xf numFmtId="0" fontId="0" fillId="5" borderId="7" pivotButton="0" quotePrefix="0" xfId="0"/>
    <xf numFmtId="3" fontId="4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5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월</t>
        </is>
      </c>
      <c r="B1" s="1" t="inlineStr">
        <is>
          <t>일</t>
        </is>
      </c>
      <c r="C1" s="1" t="inlineStr">
        <is>
          <t>품목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금액</t>
        </is>
      </c>
      <c r="H1" s="1" t="inlineStr">
        <is>
          <t>미수금</t>
        </is>
      </c>
    </row>
    <row r="2" ht="20" customHeight="1">
      <c r="A2" s="2" t="inlineStr">
        <is>
          <t>해성하우징</t>
        </is>
      </c>
      <c r="B2" s="3" t="n"/>
      <c r="C2" s="3" t="n"/>
      <c r="D2" s="3" t="n"/>
      <c r="E2" s="3" t="n"/>
      <c r="F2" s="3" t="n"/>
      <c r="G2" s="3" t="n"/>
      <c r="H2" s="4" t="n"/>
    </row>
    <row r="3" ht="18" customHeight="1">
      <c r="A3" s="5" t="n">
        <v>12</v>
      </c>
      <c r="B3" s="5" t="n">
        <v>1</v>
      </c>
      <c r="C3" s="5" t="inlineStr">
        <is>
          <t>그린로이24</t>
        </is>
      </c>
      <c r="D3" s="5" t="inlineStr">
        <is>
          <t>578 X 916</t>
        </is>
      </c>
      <c r="E3" s="6" t="n">
        <v>4</v>
      </c>
      <c r="F3" s="6" t="n">
        <v>21766</v>
      </c>
      <c r="G3" s="6" t="n">
        <v>87064</v>
      </c>
      <c r="H3" s="6" t="n">
        <v>87064</v>
      </c>
    </row>
    <row r="4" ht="20" customHeight="1">
      <c r="A4" s="7" t="inlineStr">
        <is>
          <t>합계</t>
        </is>
      </c>
      <c r="B4" s="8" t="n"/>
      <c r="C4" s="8" t="n"/>
      <c r="D4" s="9" t="n"/>
      <c r="E4" s="10">
        <f>SUM(E3:E3)</f>
        <v/>
      </c>
      <c r="F4" s="10">
        <f>SUM(F3:F3)</f>
        <v/>
      </c>
      <c r="G4" s="10">
        <f>SUM(G3:G3)</f>
        <v/>
      </c>
      <c r="H4" s="10">
        <f>H3</f>
        <v/>
      </c>
    </row>
    <row r="6" ht="20" customHeight="1">
      <c r="A6" s="2" t="inlineStr">
        <is>
          <t>경북유리</t>
        </is>
      </c>
      <c r="B6" s="3" t="n"/>
      <c r="C6" s="3" t="n"/>
      <c r="D6" s="3" t="n"/>
      <c r="E6" s="3" t="n"/>
      <c r="F6" s="3" t="n"/>
      <c r="G6" s="3" t="n"/>
      <c r="H6" s="4" t="n"/>
    </row>
    <row r="7" ht="18" customHeight="1">
      <c r="A7" s="5" t="n">
        <v>12</v>
      </c>
      <c r="B7" s="5" t="n">
        <v>1</v>
      </c>
      <c r="C7" s="5" t="inlineStr">
        <is>
          <t>39T로이3중유리</t>
        </is>
      </c>
      <c r="D7" s="5" t="inlineStr">
        <is>
          <t>580 X 1140</t>
        </is>
      </c>
      <c r="E7" s="6" t="n">
        <v>1</v>
      </c>
      <c r="F7" s="6" t="n">
        <v>48000</v>
      </c>
      <c r="G7" s="6" t="n">
        <v>48000</v>
      </c>
      <c r="H7" s="6" t="n">
        <v>135064</v>
      </c>
    </row>
    <row r="8" ht="18" customHeight="1">
      <c r="A8" s="5" t="n">
        <v>12</v>
      </c>
      <c r="B8" s="5" t="n">
        <v>1</v>
      </c>
      <c r="C8" s="5" t="inlineStr">
        <is>
          <t>39T로이3중유리</t>
        </is>
      </c>
      <c r="D8" s="5" t="inlineStr">
        <is>
          <t>380 X 1140</t>
        </is>
      </c>
      <c r="E8" s="6" t="n">
        <v>1</v>
      </c>
      <c r="F8" s="6" t="n">
        <v>36000</v>
      </c>
      <c r="G8" s="6" t="n">
        <v>36000</v>
      </c>
      <c r="H8" s="6" t="n">
        <v>171064</v>
      </c>
    </row>
    <row r="9" ht="20" customHeight="1">
      <c r="A9" s="7" t="inlineStr">
        <is>
          <t>합계</t>
        </is>
      </c>
      <c r="B9" s="8" t="n"/>
      <c r="C9" s="8" t="n"/>
      <c r="D9" s="9" t="n"/>
      <c r="E9" s="10">
        <f>SUM(E7:E8)</f>
        <v/>
      </c>
      <c r="F9" s="10">
        <f>SUM(F7:F8)</f>
        <v/>
      </c>
      <c r="G9" s="10">
        <f>SUM(G7:G8)</f>
        <v/>
      </c>
      <c r="H9" s="10">
        <f>H8</f>
        <v/>
      </c>
    </row>
    <row r="11" ht="20" customHeight="1">
      <c r="A11" s="2" t="inlineStr">
        <is>
          <t>그립스</t>
        </is>
      </c>
      <c r="B11" s="3" t="n"/>
      <c r="C11" s="3" t="n"/>
      <c r="D11" s="3" t="n"/>
      <c r="E11" s="3" t="n"/>
      <c r="F11" s="3" t="n"/>
      <c r="G11" s="3" t="n"/>
      <c r="H11" s="4" t="n"/>
    </row>
    <row r="12" ht="18" customHeight="1">
      <c r="A12" s="5" t="n">
        <v>12</v>
      </c>
      <c r="B12" s="5" t="n">
        <v>2</v>
      </c>
      <c r="C12" s="5" t="inlineStr">
        <is>
          <t>브론즈로이AR24</t>
        </is>
      </c>
      <c r="D12" s="5" t="inlineStr">
        <is>
          <t>780 X 506</t>
        </is>
      </c>
      <c r="E12" s="6" t="n">
        <v>8</v>
      </c>
      <c r="F12" s="6" t="n">
        <v>20172</v>
      </c>
      <c r="G12" s="6" t="n">
        <v>161376</v>
      </c>
      <c r="H12" s="6" t="n">
        <v>332440</v>
      </c>
    </row>
    <row r="13" ht="18" customHeight="1">
      <c r="A13" s="5" t="n">
        <v>12</v>
      </c>
      <c r="B13" s="5" t="n">
        <v>2</v>
      </c>
      <c r="C13" s="5" t="inlineStr">
        <is>
          <t>브론즈로이AR24</t>
        </is>
      </c>
      <c r="D13" s="5" t="inlineStr">
        <is>
          <t>180 X 406</t>
        </is>
      </c>
      <c r="E13" s="6" t="n">
        <v>4</v>
      </c>
      <c r="F13" s="6" t="n">
        <v>13800</v>
      </c>
      <c r="G13" s="6" t="n">
        <v>55200</v>
      </c>
      <c r="H13" s="6" t="n">
        <v>387640</v>
      </c>
    </row>
    <row r="14" ht="20" customHeight="1">
      <c r="A14" s="7" t="inlineStr">
        <is>
          <t>합계</t>
        </is>
      </c>
      <c r="B14" s="8" t="n"/>
      <c r="C14" s="8" t="n"/>
      <c r="D14" s="9" t="n"/>
      <c r="E14" s="10">
        <f>SUM(E12:E13)</f>
        <v/>
      </c>
      <c r="F14" s="10">
        <f>SUM(F12:F13)</f>
        <v/>
      </c>
      <c r="G14" s="10">
        <f>SUM(G12:G13)</f>
        <v/>
      </c>
      <c r="H14" s="10">
        <f>H13</f>
        <v/>
      </c>
    </row>
    <row r="16" ht="18" customHeight="1">
      <c r="A16" s="5" t="n">
        <v>12</v>
      </c>
      <c r="B16" s="5" t="n">
        <v>3</v>
      </c>
      <c r="C16" s="5" t="inlineStr">
        <is>
          <t>투명로이16</t>
        </is>
      </c>
      <c r="D16" s="5" t="inlineStr">
        <is>
          <t>511 X 1321</t>
        </is>
      </c>
      <c r="E16" s="6" t="n">
        <v>4</v>
      </c>
      <c r="F16" s="6" t="n">
        <v>22501</v>
      </c>
      <c r="G16" s="6" t="n">
        <v>90004</v>
      </c>
      <c r="H16" s="6" t="n">
        <v>477644</v>
      </c>
    </row>
    <row r="17" ht="20" customHeight="1">
      <c r="A17" s="7" t="inlineStr">
        <is>
          <t>합계</t>
        </is>
      </c>
      <c r="B17" s="8" t="n"/>
      <c r="C17" s="8" t="n"/>
      <c r="D17" s="9" t="n"/>
      <c r="E17" s="10">
        <f>SUM(E16:E16)</f>
        <v/>
      </c>
      <c r="F17" s="10">
        <f>SUM(F16:F16)</f>
        <v/>
      </c>
      <c r="G17" s="10">
        <f>SUM(G16:G16)</f>
        <v/>
      </c>
      <c r="H17" s="10">
        <f>H16</f>
        <v/>
      </c>
    </row>
    <row r="19" ht="20" customHeight="1">
      <c r="A19" s="2" t="inlineStr">
        <is>
          <t>그립스</t>
        </is>
      </c>
      <c r="B19" s="3" t="n"/>
      <c r="C19" s="3" t="n"/>
      <c r="D19" s="3" t="n"/>
      <c r="E19" s="3" t="n"/>
      <c r="F19" s="3" t="n"/>
      <c r="G19" s="3" t="n"/>
      <c r="H19" s="4" t="n"/>
    </row>
    <row r="20" ht="18" customHeight="1">
      <c r="A20" s="5" t="n">
        <v>12</v>
      </c>
      <c r="B20" s="5" t="n">
        <v>8</v>
      </c>
      <c r="C20" s="5" t="inlineStr">
        <is>
          <t>브론즈로이22</t>
        </is>
      </c>
      <c r="D20" s="5" t="inlineStr">
        <is>
          <t>886 X 877</t>
        </is>
      </c>
      <c r="E20" s="6" t="n">
        <v>2</v>
      </c>
      <c r="F20" s="6" t="n">
        <v>34534</v>
      </c>
      <c r="G20" s="6" t="n">
        <v>69068</v>
      </c>
      <c r="H20" s="6" t="n">
        <v>546712</v>
      </c>
    </row>
    <row r="21" ht="20" customHeight="1">
      <c r="A21" s="7" t="inlineStr">
        <is>
          <t>합계</t>
        </is>
      </c>
      <c r="B21" s="8" t="n"/>
      <c r="C21" s="8" t="n"/>
      <c r="D21" s="9" t="n"/>
      <c r="E21" s="10">
        <f>SUM(E20:E20)</f>
        <v/>
      </c>
      <c r="F21" s="10">
        <f>SUM(F20:F20)</f>
        <v/>
      </c>
      <c r="G21" s="10">
        <f>SUM(G20:G20)</f>
        <v/>
      </c>
      <c r="H21" s="10">
        <f>H20</f>
        <v/>
      </c>
    </row>
    <row r="23" ht="20" customHeight="1">
      <c r="A23" s="2" t="inlineStr">
        <is>
          <t>한양하우징</t>
        </is>
      </c>
      <c r="B23" s="3" t="n"/>
      <c r="C23" s="3" t="n"/>
      <c r="D23" s="3" t="n"/>
      <c r="E23" s="3" t="n"/>
      <c r="F23" s="3" t="n"/>
      <c r="G23" s="3" t="n"/>
      <c r="H23" s="4" t="n"/>
    </row>
    <row r="24" ht="18" customHeight="1">
      <c r="A24" s="5" t="n">
        <v>12</v>
      </c>
      <c r="B24" s="5" t="n">
        <v>10</v>
      </c>
      <c r="C24" s="5" t="inlineStr">
        <is>
          <t>투명로이24</t>
        </is>
      </c>
      <c r="D24" s="5" t="inlineStr">
        <is>
          <t>621 X 1287</t>
        </is>
      </c>
      <c r="E24" s="6" t="n">
        <v>4</v>
      </c>
      <c r="F24" s="6" t="n">
        <v>29304</v>
      </c>
      <c r="G24" s="6" t="n">
        <v>117216</v>
      </c>
      <c r="H24" s="6" t="n">
        <v>663928</v>
      </c>
    </row>
    <row r="25" ht="18" customHeight="1">
      <c r="A25" s="5" t="n">
        <v>12</v>
      </c>
      <c r="B25" s="5" t="n">
        <v>10</v>
      </c>
      <c r="C25" s="5" t="inlineStr">
        <is>
          <t>투명로이24</t>
        </is>
      </c>
      <c r="D25" s="5" t="inlineStr">
        <is>
          <t>601 X 1237</t>
        </is>
      </c>
      <c r="E25" s="6" t="n">
        <v>4</v>
      </c>
      <c r="F25" s="6" t="n">
        <v>27259</v>
      </c>
      <c r="G25" s="6" t="n">
        <v>109036</v>
      </c>
      <c r="H25" s="6" t="n">
        <v>772964</v>
      </c>
    </row>
    <row r="26" ht="18" customHeight="1">
      <c r="A26" s="5" t="n">
        <v>12</v>
      </c>
      <c r="B26" s="5" t="n">
        <v>10</v>
      </c>
      <c r="C26" s="5" t="inlineStr">
        <is>
          <t>투명로이24</t>
        </is>
      </c>
      <c r="D26" s="5" t="inlineStr">
        <is>
          <t>756 X 657</t>
        </is>
      </c>
      <c r="E26" s="6" t="n">
        <v>2</v>
      </c>
      <c r="F26" s="6" t="n">
        <v>18212</v>
      </c>
      <c r="G26" s="6" t="n">
        <v>36424</v>
      </c>
      <c r="H26" s="6" t="n">
        <v>809388</v>
      </c>
    </row>
    <row r="27" ht="18" customHeight="1">
      <c r="A27" s="5" t="n">
        <v>12</v>
      </c>
      <c r="B27" s="5" t="n">
        <v>10</v>
      </c>
      <c r="C27" s="5" t="inlineStr">
        <is>
          <t>투명로이24</t>
        </is>
      </c>
      <c r="D27" s="5" t="inlineStr">
        <is>
          <t>461 X 486</t>
        </is>
      </c>
      <c r="E27" s="6" t="n">
        <v>2</v>
      </c>
      <c r="F27" s="6" t="n">
        <v>9900</v>
      </c>
      <c r="G27" s="6" t="n">
        <v>19800</v>
      </c>
      <c r="H27" s="6" t="n">
        <v>829188</v>
      </c>
    </row>
    <row r="28" ht="18" customHeight="1">
      <c r="A28" s="5" t="n">
        <v>12</v>
      </c>
      <c r="B28" s="5" t="n">
        <v>10</v>
      </c>
      <c r="C28" s="5" t="inlineStr">
        <is>
          <t>그린로이24</t>
        </is>
      </c>
      <c r="D28" s="5" t="inlineStr">
        <is>
          <t>621 X 1287</t>
        </is>
      </c>
      <c r="E28" s="6" t="n">
        <v>4</v>
      </c>
      <c r="F28" s="6" t="n">
        <v>32857</v>
      </c>
      <c r="G28" s="6" t="n">
        <v>131428</v>
      </c>
      <c r="H28" s="6" t="n">
        <v>960616</v>
      </c>
    </row>
    <row r="29" ht="18" customHeight="1">
      <c r="A29" s="5" t="n">
        <v>12</v>
      </c>
      <c r="B29" s="5" t="n">
        <v>10</v>
      </c>
      <c r="C29" s="5" t="inlineStr">
        <is>
          <t>그린로이24</t>
        </is>
      </c>
      <c r="D29" s="5" t="inlineStr">
        <is>
          <t>601 X 1237</t>
        </is>
      </c>
      <c r="E29" s="6" t="n">
        <v>4</v>
      </c>
      <c r="F29" s="6" t="n">
        <v>30563</v>
      </c>
      <c r="G29" s="6" t="n">
        <v>122252</v>
      </c>
      <c r="H29" s="6" t="n">
        <v>1082868</v>
      </c>
    </row>
    <row r="30" ht="18" customHeight="1">
      <c r="A30" s="5" t="n">
        <v>12</v>
      </c>
      <c r="B30" s="5" t="n">
        <v>10</v>
      </c>
      <c r="C30" s="5" t="inlineStr">
        <is>
          <t>그린로이24</t>
        </is>
      </c>
      <c r="D30" s="5" t="inlineStr">
        <is>
          <t>756 X 657</t>
        </is>
      </c>
      <c r="E30" s="6" t="n">
        <v>2</v>
      </c>
      <c r="F30" s="6" t="n">
        <v>20419</v>
      </c>
      <c r="G30" s="6" t="n">
        <v>40838</v>
      </c>
      <c r="H30" s="6" t="n">
        <v>1123706</v>
      </c>
    </row>
    <row r="31" ht="18" customHeight="1">
      <c r="A31" s="5" t="n">
        <v>12</v>
      </c>
      <c r="B31" s="5" t="n">
        <v>10</v>
      </c>
      <c r="C31" s="5" t="inlineStr">
        <is>
          <t>그린로이24</t>
        </is>
      </c>
      <c r="D31" s="5" t="inlineStr">
        <is>
          <t>461 X 486</t>
        </is>
      </c>
      <c r="E31" s="6" t="n">
        <v>2</v>
      </c>
      <c r="F31" s="6" t="n">
        <v>11100</v>
      </c>
      <c r="G31" s="6" t="n">
        <v>22200</v>
      </c>
      <c r="H31" s="6" t="n">
        <v>1145906</v>
      </c>
    </row>
    <row r="32" ht="18" customHeight="1">
      <c r="A32" s="5" t="n">
        <v>12</v>
      </c>
      <c r="B32" s="5" t="n">
        <v>10</v>
      </c>
      <c r="C32" s="5" t="inlineStr">
        <is>
          <t>그린로이24</t>
        </is>
      </c>
      <c r="D32" s="5" t="inlineStr">
        <is>
          <t>156 X 256</t>
        </is>
      </c>
      <c r="E32" s="6" t="n">
        <v>2</v>
      </c>
      <c r="F32" s="6" t="n">
        <v>11100</v>
      </c>
      <c r="G32" s="6" t="n">
        <v>22200</v>
      </c>
      <c r="H32" s="6" t="n">
        <v>1168106</v>
      </c>
    </row>
    <row r="33" ht="18" customHeight="1">
      <c r="A33" s="5" t="n">
        <v>12</v>
      </c>
      <c r="B33" s="5" t="n">
        <v>10</v>
      </c>
      <c r="C33" s="5" t="inlineStr">
        <is>
          <t>소노로이24</t>
        </is>
      </c>
      <c r="D33" s="5" t="inlineStr">
        <is>
          <t>156 X 256</t>
        </is>
      </c>
      <c r="E33" s="6" t="n">
        <v>2</v>
      </c>
      <c r="F33" s="6" t="n">
        <v>12000</v>
      </c>
      <c r="G33" s="6" t="n">
        <v>24000</v>
      </c>
      <c r="H33" s="6" t="n">
        <v>1192106</v>
      </c>
    </row>
    <row r="34" ht="20" customHeight="1">
      <c r="A34" s="7" t="inlineStr">
        <is>
          <t>합계</t>
        </is>
      </c>
      <c r="B34" s="8" t="n"/>
      <c r="C34" s="8" t="n"/>
      <c r="D34" s="9" t="n"/>
      <c r="E34" s="10">
        <f>SUM(E24:E33)</f>
        <v/>
      </c>
      <c r="F34" s="10">
        <f>SUM(F24:F33)</f>
        <v/>
      </c>
      <c r="G34" s="10">
        <f>SUM(G24:G33)</f>
        <v/>
      </c>
      <c r="H34" s="10">
        <f>H33</f>
        <v/>
      </c>
    </row>
    <row r="36" ht="20" customHeight="1">
      <c r="A36" s="2" t="inlineStr">
        <is>
          <t>홈하우징</t>
        </is>
      </c>
      <c r="B36" s="3" t="n"/>
      <c r="C36" s="3" t="n"/>
      <c r="D36" s="3" t="n"/>
      <c r="E36" s="3" t="n"/>
      <c r="F36" s="3" t="n"/>
      <c r="G36" s="3" t="n"/>
      <c r="H36" s="4" t="n"/>
    </row>
    <row r="37" ht="18" customHeight="1">
      <c r="A37" s="5" t="n">
        <v>12</v>
      </c>
      <c r="B37" s="5" t="n">
        <v>16</v>
      </c>
      <c r="C37" s="5" t="inlineStr">
        <is>
          <t>소노로이22</t>
        </is>
      </c>
      <c r="D37" s="5" t="inlineStr">
        <is>
          <t>743 X 1587</t>
        </is>
      </c>
      <c r="E37" s="6" t="n">
        <v>4</v>
      </c>
      <c r="F37" s="6" t="n">
        <v>48475</v>
      </c>
      <c r="G37" s="6" t="n">
        <v>193900</v>
      </c>
      <c r="H37" s="6" t="n">
        <v>1386006</v>
      </c>
    </row>
    <row r="38" ht="18" customHeight="1">
      <c r="A38" s="5" t="n">
        <v>12</v>
      </c>
      <c r="B38" s="5" t="n">
        <v>16</v>
      </c>
      <c r="C38" s="5" t="inlineStr">
        <is>
          <t>소노로이22</t>
        </is>
      </c>
      <c r="D38" s="5" t="inlineStr">
        <is>
          <t>431 X 1587</t>
        </is>
      </c>
      <c r="E38" s="6" t="n">
        <v>4</v>
      </c>
      <c r="F38" s="6" t="n">
        <v>28119</v>
      </c>
      <c r="G38" s="6" t="n">
        <v>112476</v>
      </c>
      <c r="H38" s="6" t="n">
        <v>1498482</v>
      </c>
    </row>
    <row r="39" ht="18" customHeight="1">
      <c r="A39" s="5" t="n">
        <v>12</v>
      </c>
      <c r="B39" s="5" t="n">
        <v>16</v>
      </c>
      <c r="C39" s="5" t="inlineStr">
        <is>
          <t>소노로이22</t>
        </is>
      </c>
      <c r="D39" s="5" t="inlineStr">
        <is>
          <t>531 X 1957</t>
        </is>
      </c>
      <c r="E39" s="6" t="n">
        <v>4</v>
      </c>
      <c r="F39" s="6" t="n">
        <v>42721</v>
      </c>
      <c r="G39" s="6" t="n">
        <v>170884</v>
      </c>
      <c r="H39" s="6" t="n">
        <v>1669366</v>
      </c>
    </row>
    <row r="40" ht="18" customHeight="1">
      <c r="A40" s="5" t="n">
        <v>12</v>
      </c>
      <c r="B40" s="5" t="n">
        <v>16</v>
      </c>
      <c r="C40" s="5" t="inlineStr">
        <is>
          <t>소노로이22</t>
        </is>
      </c>
      <c r="D40" s="5" t="inlineStr">
        <is>
          <t>633 X 1587</t>
        </is>
      </c>
      <c r="E40" s="6" t="n">
        <v>4</v>
      </c>
      <c r="F40" s="6" t="n">
        <v>41299</v>
      </c>
      <c r="G40" s="6" t="n">
        <v>165196</v>
      </c>
      <c r="H40" s="6" t="n">
        <v>1834562</v>
      </c>
    </row>
    <row r="41" ht="18" customHeight="1">
      <c r="A41" s="5" t="n">
        <v>12</v>
      </c>
      <c r="B41" s="5" t="n">
        <v>16</v>
      </c>
      <c r="C41" s="5" t="inlineStr">
        <is>
          <t>소노로이22</t>
        </is>
      </c>
      <c r="D41" s="5" t="inlineStr">
        <is>
          <t>344 X 1533</t>
        </is>
      </c>
      <c r="E41" s="6" t="n">
        <v>1</v>
      </c>
      <c r="F41" s="6" t="n">
        <v>21680</v>
      </c>
      <c r="G41" s="6" t="n">
        <v>21680</v>
      </c>
      <c r="H41" s="6" t="n">
        <v>1856242</v>
      </c>
    </row>
    <row r="42" ht="18" customHeight="1">
      <c r="A42" s="5" t="n">
        <v>12</v>
      </c>
      <c r="B42" s="5" t="n">
        <v>16</v>
      </c>
      <c r="C42" s="5" t="inlineStr">
        <is>
          <t>양그린22</t>
        </is>
      </c>
      <c r="D42" s="5" t="inlineStr">
        <is>
          <t>640 X 1840</t>
        </is>
      </c>
      <c r="E42" s="6" t="n">
        <v>1</v>
      </c>
      <c r="F42" s="6" t="n">
        <v>45795</v>
      </c>
      <c r="G42" s="6" t="n">
        <v>45795</v>
      </c>
      <c r="H42" s="6" t="n">
        <v>1902037</v>
      </c>
    </row>
    <row r="43" ht="20" customHeight="1">
      <c r="A43" s="7" t="inlineStr">
        <is>
          <t>합계</t>
        </is>
      </c>
      <c r="B43" s="8" t="n"/>
      <c r="C43" s="8" t="n"/>
      <c r="D43" s="9" t="n"/>
      <c r="E43" s="10">
        <f>SUM(E37:E42)</f>
        <v/>
      </c>
      <c r="F43" s="10">
        <f>SUM(F37:F42)</f>
        <v/>
      </c>
      <c r="G43" s="10">
        <f>SUM(G37:G42)</f>
        <v/>
      </c>
      <c r="H43" s="10">
        <f>H42</f>
        <v/>
      </c>
    </row>
    <row r="45" ht="20" customHeight="1">
      <c r="A45" s="2" t="inlineStr">
        <is>
          <t>일반</t>
        </is>
      </c>
      <c r="B45" s="3" t="n"/>
      <c r="C45" s="3" t="n"/>
      <c r="D45" s="3" t="n"/>
      <c r="E45" s="3" t="n"/>
      <c r="F45" s="3" t="n"/>
      <c r="G45" s="3" t="n"/>
      <c r="H45" s="4" t="n"/>
    </row>
    <row r="46" ht="18" customHeight="1">
      <c r="A46" s="5" t="n">
        <v>12</v>
      </c>
      <c r="B46" s="5" t="n">
        <v>15</v>
      </c>
      <c r="C46" s="5" t="inlineStr">
        <is>
          <t>투명22</t>
        </is>
      </c>
      <c r="D46" s="5" t="inlineStr">
        <is>
          <t>2526 X 2046</t>
        </is>
      </c>
      <c r="E46" s="6" t="n">
        <v>1</v>
      </c>
      <c r="F46" s="6" t="n">
        <v>239400</v>
      </c>
      <c r="G46" s="6" t="n">
        <v>239400</v>
      </c>
      <c r="H46" s="6" t="n">
        <v>2141437</v>
      </c>
    </row>
    <row r="47" ht="18" customHeight="1">
      <c r="A47" s="5" t="n">
        <v>12</v>
      </c>
      <c r="B47" s="5" t="n">
        <v>15</v>
      </c>
      <c r="C47" s="5" t="inlineStr">
        <is>
          <t>투명22</t>
        </is>
      </c>
      <c r="D47" s="5" t="inlineStr">
        <is>
          <t>536 X 1126</t>
        </is>
      </c>
      <c r="E47" s="6" t="n">
        <v>2</v>
      </c>
      <c r="F47" s="6" t="n">
        <v>23470</v>
      </c>
      <c r="G47" s="6" t="n">
        <v>46940</v>
      </c>
      <c r="H47" s="6" t="n">
        <v>2188377</v>
      </c>
    </row>
    <row r="48" ht="18" customHeight="1">
      <c r="A48" s="5" t="n">
        <v>12</v>
      </c>
      <c r="B48" s="5" t="n">
        <v>15</v>
      </c>
      <c r="C48" s="5" t="inlineStr">
        <is>
          <t>투명22</t>
        </is>
      </c>
      <c r="D48" s="5" t="inlineStr">
        <is>
          <t>1227 X 1126</t>
        </is>
      </c>
      <c r="E48" s="6" t="n">
        <v>1</v>
      </c>
      <c r="F48" s="6" t="n">
        <v>53728</v>
      </c>
      <c r="G48" s="6" t="n">
        <v>53728</v>
      </c>
      <c r="H48" s="6" t="n">
        <v>2242105</v>
      </c>
    </row>
    <row r="49" ht="18" customHeight="1">
      <c r="A49" s="5" t="n">
        <v>12</v>
      </c>
      <c r="B49" s="5" t="n">
        <v>15</v>
      </c>
      <c r="C49" s="5" t="inlineStr">
        <is>
          <t>투명22</t>
        </is>
      </c>
      <c r="D49" s="5" t="inlineStr">
        <is>
          <t>583 X 2046</t>
        </is>
      </c>
      <c r="E49" s="6" t="n">
        <v>2</v>
      </c>
      <c r="F49" s="6" t="n">
        <v>46387</v>
      </c>
      <c r="G49" s="6" t="n">
        <v>92774</v>
      </c>
      <c r="H49" s="6" t="n">
        <v>2334879</v>
      </c>
    </row>
    <row r="50" ht="18" customHeight="1">
      <c r="A50" s="5" t="n">
        <v>12</v>
      </c>
      <c r="B50" s="5" t="n">
        <v>15</v>
      </c>
      <c r="C50" s="5" t="inlineStr">
        <is>
          <t>투명22</t>
        </is>
      </c>
      <c r="D50" s="5" t="inlineStr">
        <is>
          <t>1186 X 2046</t>
        </is>
      </c>
      <c r="E50" s="6" t="n">
        <v>2</v>
      </c>
      <c r="F50" s="6" t="n">
        <v>94366</v>
      </c>
      <c r="G50" s="6" t="n">
        <v>188732</v>
      </c>
      <c r="H50" s="6" t="n">
        <v>2523611</v>
      </c>
    </row>
    <row r="51" ht="20" customHeight="1">
      <c r="A51" s="7" t="inlineStr">
        <is>
          <t>합계</t>
        </is>
      </c>
      <c r="B51" s="8" t="n"/>
      <c r="C51" s="8" t="n"/>
      <c r="D51" s="9" t="n"/>
      <c r="E51" s="10">
        <f>SUM(E46:E50)</f>
        <v/>
      </c>
      <c r="F51" s="10">
        <f>SUM(F46:F50)</f>
        <v/>
      </c>
      <c r="G51" s="10">
        <f>SUM(G46:G50)</f>
        <v/>
      </c>
      <c r="H51" s="10">
        <f>H50</f>
        <v/>
      </c>
    </row>
    <row r="53" ht="18" customHeight="1">
      <c r="A53" s="5" t="n">
        <v>12</v>
      </c>
      <c r="B53" s="5" t="n">
        <v>17</v>
      </c>
      <c r="C53" s="5" t="inlineStr">
        <is>
          <t>미라22</t>
        </is>
      </c>
      <c r="D53" s="5" t="inlineStr">
        <is>
          <t>610 X 1900</t>
        </is>
      </c>
      <c r="E53" s="6" t="n">
        <v>1</v>
      </c>
      <c r="F53" s="6" t="n">
        <v>46360</v>
      </c>
      <c r="G53" s="6" t="n">
        <v>46360</v>
      </c>
      <c r="H53" s="6" t="n">
        <v>2569971</v>
      </c>
    </row>
    <row r="54" ht="20" customHeight="1">
      <c r="A54" s="7" t="inlineStr">
        <is>
          <t>합계</t>
        </is>
      </c>
      <c r="B54" s="8" t="n"/>
      <c r="C54" s="8" t="n"/>
      <c r="D54" s="9" t="n"/>
      <c r="E54" s="10">
        <f>SUM(E53:E53)</f>
        <v/>
      </c>
      <c r="F54" s="10">
        <f>SUM(F53:F53)</f>
        <v/>
      </c>
      <c r="G54" s="10">
        <f>SUM(G53:G53)</f>
        <v/>
      </c>
      <c r="H54" s="10">
        <f>H53</f>
        <v/>
      </c>
    </row>
    <row r="56" ht="20" customHeight="1">
      <c r="A56" s="2" t="inlineStr">
        <is>
          <t>참인테리어</t>
        </is>
      </c>
      <c r="B56" s="3" t="n"/>
      <c r="C56" s="3" t="n"/>
      <c r="D56" s="3" t="n"/>
      <c r="E56" s="3" t="n"/>
      <c r="F56" s="3" t="n"/>
      <c r="G56" s="3" t="n"/>
      <c r="H56" s="4" t="n"/>
    </row>
    <row r="57" ht="18" customHeight="1">
      <c r="A57" s="5" t="n">
        <v>12</v>
      </c>
      <c r="B57" s="5" t="n">
        <v>15</v>
      </c>
      <c r="C57" s="5" t="inlineStr">
        <is>
          <t>24t 미라강화유리</t>
        </is>
      </c>
      <c r="D57" s="5" t="inlineStr">
        <is>
          <t>880 X 797</t>
        </is>
      </c>
      <c r="E57" s="6" t="n">
        <v>2</v>
      </c>
      <c r="F57" s="6" t="n">
        <v>47700</v>
      </c>
      <c r="G57" s="6" t="n">
        <v>95400</v>
      </c>
      <c r="H57" s="6" t="n">
        <v>2665371</v>
      </c>
    </row>
    <row r="58" ht="18" customHeight="1">
      <c r="A58" s="5" t="n">
        <v>12</v>
      </c>
      <c r="B58" s="5" t="n">
        <v>15</v>
      </c>
      <c r="C58" s="5" t="inlineStr">
        <is>
          <t>24t 미라강화유리</t>
        </is>
      </c>
      <c r="D58" s="5" t="inlineStr">
        <is>
          <t>380 X 797</t>
        </is>
      </c>
      <c r="E58" s="6" t="n">
        <v>2</v>
      </c>
      <c r="F58" s="6" t="n">
        <v>18550</v>
      </c>
      <c r="G58" s="6" t="n">
        <v>37100</v>
      </c>
      <c r="H58" s="6" t="n">
        <v>2702471</v>
      </c>
    </row>
    <row r="59" ht="18" customHeight="1">
      <c r="A59" s="5" t="n">
        <v>12</v>
      </c>
      <c r="B59" s="5" t="n">
        <v>15</v>
      </c>
      <c r="C59" s="5" t="inlineStr">
        <is>
          <t>24t투명강화</t>
        </is>
      </c>
      <c r="D59" s="5" t="inlineStr">
        <is>
          <t>880 X 797</t>
        </is>
      </c>
      <c r="E59" s="6" t="n">
        <v>2</v>
      </c>
      <c r="F59" s="6" t="n">
        <v>43200</v>
      </c>
      <c r="G59" s="6" t="n">
        <v>86400</v>
      </c>
      <c r="H59" s="6" t="n">
        <v>2788871</v>
      </c>
    </row>
    <row r="60" ht="18" customHeight="1">
      <c r="A60" s="5" t="n">
        <v>12</v>
      </c>
      <c r="B60" s="5" t="n">
        <v>15</v>
      </c>
      <c r="C60" s="5" t="inlineStr">
        <is>
          <t>24t투명강화</t>
        </is>
      </c>
      <c r="D60" s="5" t="inlineStr">
        <is>
          <t>380 X 797</t>
        </is>
      </c>
      <c r="E60" s="6" t="n">
        <v>2</v>
      </c>
      <c r="F60" s="6" t="n">
        <v>16800</v>
      </c>
      <c r="G60" s="6" t="n">
        <v>33600</v>
      </c>
      <c r="H60" s="6" t="n">
        <v>2822471</v>
      </c>
    </row>
    <row r="61" ht="20" customHeight="1">
      <c r="A61" s="7" t="inlineStr">
        <is>
          <t>합계</t>
        </is>
      </c>
      <c r="B61" s="8" t="n"/>
      <c r="C61" s="8" t="n"/>
      <c r="D61" s="9" t="n"/>
      <c r="E61" s="10">
        <f>SUM(E57:E60)</f>
        <v/>
      </c>
      <c r="F61" s="10">
        <f>SUM(F57:F60)</f>
        <v/>
      </c>
      <c r="G61" s="10">
        <f>SUM(G57:G60)</f>
        <v/>
      </c>
      <c r="H61" s="10">
        <f>H60</f>
        <v/>
      </c>
    </row>
    <row r="63" ht="20" customHeight="1">
      <c r="A63" s="2" t="inlineStr">
        <is>
          <t>J건축</t>
        </is>
      </c>
      <c r="B63" s="3" t="n"/>
      <c r="C63" s="3" t="n"/>
      <c r="D63" s="3" t="n"/>
      <c r="E63" s="3" t="n"/>
      <c r="F63" s="3" t="n"/>
      <c r="G63" s="3" t="n"/>
      <c r="H63" s="4" t="n"/>
    </row>
    <row r="64" ht="18" customHeight="1">
      <c r="A64" s="5" t="n">
        <v>12</v>
      </c>
      <c r="B64" s="5" t="n">
        <v>17</v>
      </c>
      <c r="C64" s="5" t="inlineStr">
        <is>
          <t>그린24</t>
        </is>
      </c>
      <c r="D64" s="5" t="inlineStr">
        <is>
          <t>1130 X 1507</t>
        </is>
      </c>
      <c r="E64" s="6" t="n">
        <v>5</v>
      </c>
      <c r="F64" s="6" t="n">
        <v>62440</v>
      </c>
      <c r="G64" s="6" t="n">
        <v>312200</v>
      </c>
      <c r="H64" s="6" t="n">
        <v>3134671</v>
      </c>
    </row>
    <row r="65" ht="20" customHeight="1">
      <c r="A65" s="7" t="inlineStr">
        <is>
          <t>합계</t>
        </is>
      </c>
      <c r="B65" s="8" t="n"/>
      <c r="C65" s="8" t="n"/>
      <c r="D65" s="9" t="n"/>
      <c r="E65" s="10">
        <f>SUM(E64:E64)</f>
        <v/>
      </c>
      <c r="F65" s="10">
        <f>SUM(F64:F64)</f>
        <v/>
      </c>
      <c r="G65" s="10">
        <f>SUM(G64:G64)</f>
        <v/>
      </c>
      <c r="H65" s="10">
        <f>H64</f>
        <v/>
      </c>
    </row>
    <row r="67" ht="18" customHeight="1">
      <c r="A67" s="5" t="n">
        <v>12</v>
      </c>
      <c r="B67" s="5" t="n">
        <v>23</v>
      </c>
      <c r="C67" s="5" t="inlineStr">
        <is>
          <t>소노로이24</t>
        </is>
      </c>
      <c r="D67" s="5" t="inlineStr">
        <is>
          <t>630 X 296</t>
        </is>
      </c>
      <c r="E67" s="6" t="n">
        <v>1</v>
      </c>
      <c r="F67" s="6" t="n">
        <v>12000</v>
      </c>
      <c r="G67" s="6" t="n">
        <v>12000</v>
      </c>
      <c r="H67" s="6" t="n">
        <v>3146671</v>
      </c>
    </row>
    <row r="68" ht="20" customHeight="1">
      <c r="A68" s="7" t="inlineStr">
        <is>
          <t>합계</t>
        </is>
      </c>
      <c r="B68" s="8" t="n"/>
      <c r="C68" s="8" t="n"/>
      <c r="D68" s="9" t="n"/>
      <c r="E68" s="10">
        <f>SUM(E67:E67)</f>
        <v/>
      </c>
      <c r="F68" s="10">
        <f>SUM(F67:F67)</f>
        <v/>
      </c>
      <c r="G68" s="10">
        <f>SUM(G67:G67)</f>
        <v/>
      </c>
      <c r="H68" s="10">
        <f>H67</f>
        <v/>
      </c>
    </row>
    <row r="71" ht="30" customHeight="1">
      <c r="A71" s="11" t="inlineStr">
        <is>
          <t>월 합계 금액</t>
        </is>
      </c>
      <c r="B71" s="12" t="n"/>
      <c r="C71" s="12" t="n"/>
      <c r="D71" s="12" t="n"/>
      <c r="E71" s="12" t="n"/>
      <c r="F71" s="12" t="n"/>
      <c r="G71" s="12" t="n"/>
      <c r="H71" s="13">
        <f>SUM(G4,G9,G14,G17,G21,G34,G43,G51,G54,G61,G65,G68)</f>
        <v/>
      </c>
    </row>
  </sheetData>
  <mergeCells count="22">
    <mergeCell ref="A17:D17"/>
    <mergeCell ref="A4:D4"/>
    <mergeCell ref="A36:H36"/>
    <mergeCell ref="A11:H11"/>
    <mergeCell ref="A43:D43"/>
    <mergeCell ref="A45:H45"/>
    <mergeCell ref="A6:H6"/>
    <mergeCell ref="A68:D68"/>
    <mergeCell ref="A9:D9"/>
    <mergeCell ref="A34:D34"/>
    <mergeCell ref="A51:D51"/>
    <mergeCell ref="A56:H56"/>
    <mergeCell ref="A61:D61"/>
    <mergeCell ref="A2:H2"/>
    <mergeCell ref="A54:D54"/>
    <mergeCell ref="A65:D65"/>
    <mergeCell ref="A23:H23"/>
    <mergeCell ref="A63:H63"/>
    <mergeCell ref="A21:D21"/>
    <mergeCell ref="A19:H19"/>
    <mergeCell ref="A71:G71"/>
    <mergeCell ref="A14:D1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2025-12-24T04:15:55Z</dcterms:created>
  <dcterms:modified xmlns:dcterms="http://purl.org/dc/terms/" xmlns:xsi="http://www.w3.org/2001/XMLSchema-instance" xsi:type="dcterms:W3CDTF">2025-12-24T04:15:55Z</dcterms:modified>
</cp:coreProperties>
</file>